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  <extLst>
    <ext uri="GoogleSheetsCustomDataVersion2">
      <go:sheetsCustomData xmlns:go="http://customooxmlschemas.google.com/" r:id="rId5" roundtripDataChecksum="GcRsYUqeQWxPGCSJgMs64SGvGnj2pEPT/Xn1wkewR5s="/>
    </ext>
  </extLst>
</workbook>
</file>

<file path=xl/sharedStrings.xml><?xml version="1.0" encoding="utf-8"?>
<sst xmlns="http://schemas.openxmlformats.org/spreadsheetml/2006/main" count="70" uniqueCount="51">
  <si>
    <t>Part</t>
  </si>
  <si>
    <t>Column 1</t>
  </si>
  <si>
    <t>weight with quantity</t>
  </si>
  <si>
    <t>Quantity</t>
  </si>
  <si>
    <t>price per unit</t>
  </si>
  <si>
    <t>Price</t>
  </si>
  <si>
    <t>Source</t>
  </si>
  <si>
    <t>Link</t>
  </si>
  <si>
    <t>Transmitter/Receiver</t>
  </si>
  <si>
    <t>6,4g</t>
  </si>
  <si>
    <t>Aliexpress</t>
  </si>
  <si>
    <r>
      <rPr>
        <color rgb="FF1155CC"/>
        <u/>
      </rPr>
      <t>FLYSKY FS-i6 I6 Transmitter 2.4G 6CH Radio Remote Controller With iA6 iA6B X6B A8S R6B iA10B FS2A Receiver for RC Drone Airplane</t>
    </r>
  </si>
  <si>
    <t>weapon motor</t>
  </si>
  <si>
    <t>18g</t>
  </si>
  <si>
    <r>
      <rPr>
        <color rgb="FF1155CC"/>
        <u/>
      </rPr>
      <t>BE1806 Brushless Motor 1400KV 2300KV 2700KV for RC Drones</t>
    </r>
  </si>
  <si>
    <t>drive motors</t>
  </si>
  <si>
    <t>20g</t>
  </si>
  <si>
    <t>Micro N10 Full Metal Gearbox Gear Motor Gear Reducer Motor D-shaft DC 3V-6V Slow Speed for Robot Car Electric Lock - AliExpress 13</t>
  </si>
  <si>
    <t xml:space="preserve"> 20a brushless esc</t>
  </si>
  <si>
    <t>4g</t>
  </si>
  <si>
    <t>20 a brushless esc</t>
  </si>
  <si>
    <t>10a esc</t>
  </si>
  <si>
    <t>11.8g</t>
  </si>
  <si>
    <t>10 a esc</t>
  </si>
  <si>
    <t>Weapon motor Replacement shaft</t>
  </si>
  <si>
    <t>dont know</t>
  </si>
  <si>
    <r>
      <rPr>
        <color rgb="FF1155CC"/>
        <u/>
      </rPr>
      <t>2mm Diamete Iron Axle Round Solid Metal Bar Rod Model Axles For Model Toy RC Car Wheel Length 10mm~150mm Gear Shaft - AliExpress 13</t>
    </r>
  </si>
  <si>
    <t>M2 screws</t>
  </si>
  <si>
    <r>
      <rPr>
        <color rgb="FF1155CC"/>
        <u/>
      </rPr>
      <t>50pcs M1.4 M1.6 M2 M2.5 M3 304 A2 Stainless Black 12.9 Grade Steel DIN912 Hexagon Hex Socket Head Cap Allen Bolt Screw L=2-30mm - AliExpress 13</t>
    </r>
  </si>
  <si>
    <t>bearings</t>
  </si>
  <si>
    <t>2S lipo battery</t>
  </si>
  <si>
    <t>27g</t>
  </si>
  <si>
    <t>2s lipo 450mah</t>
  </si>
  <si>
    <t>lipo battery charger</t>
  </si>
  <si>
    <t>not on robot</t>
  </si>
  <si>
    <r>
      <rPr>
        <color rgb="FF1155CC"/>
        <u/>
      </rPr>
      <t>Imax B3 Pro 7.4v 11.1v Li-polymer Lipo Battery Charger 2s 3s Cells for RC LiPo AEG Airsoft Battery</t>
    </r>
  </si>
  <si>
    <t>XT 30 connector wire</t>
  </si>
  <si>
    <r>
      <rPr>
        <color rgb="FF1155CC"/>
        <u/>
      </rPr>
      <t>XT30 Male Female Connector 18AWG Silicone Wire Extension</t>
    </r>
  </si>
  <si>
    <t>Heat shrink tube</t>
  </si>
  <si>
    <t>~0g</t>
  </si>
  <si>
    <t>aliexpress.com/item/1005007489011976.html?spm=a2g0o.cart.0.0.23f038daIDlm7D&amp;mp=1&amp;pdp_npi=6%40dis%21USD%21USD%200.77%21USD%200.45%21%21USD%200.45%21%21%21%40210393bd17841063651556415e1058%2112000040986726335%21ct%21CZ%217738828319%21%211%210%21</t>
  </si>
  <si>
    <t xml:space="preserve">Power switch </t>
  </si>
  <si>
    <t>1g</t>
  </si>
  <si>
    <t>BBB shop</t>
  </si>
  <si>
    <t>https://shop.bristolbotbuilders.com/product/ftswitch/</t>
  </si>
  <si>
    <t>power switch sticker</t>
  </si>
  <si>
    <t>https://shop.bristolbotbuilders.com/product/sticker/</t>
  </si>
  <si>
    <t>power switch screw</t>
  </si>
  <si>
    <t>https://shop.bristolbotbuilders.com/product/ftscrew/</t>
  </si>
  <si>
    <t>Shipping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</si>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</sst>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5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9.0"/>
      <color theme="1"/>
      <name val="Mona Sans"/>
    </font>
    <font>
      <sz val="11.0"/>
      <color rgb="FF000000"/>
      <name val="Arial"/>
    </font>
    <font>
      <color theme="1"/>
      <name val="Arial"/>
    </font>
    <font>
      <sz val="9.0"/>
      <color rgb="FF000000"/>
      <name val="Mona Sans"/>
    </font>
    <font>
      <u/>
      <color rgb="FF0000FF"/>
      <name val="Roboto"/>
    </font>
    <font>
      <u/>
      <color rgb="FF0000FF"/>
      <name val="Roboto"/>
    </font>
    <font>
      <sz val="9.0"/>
      <color rgb="FF000000"/>
      <name val="Arial"/>
    </font>
    <font>
      <sz val="10.0"/>
      <color rgb="FF000000"/>
      <name val="Arial"/>
    </font>
    <font>
      <u/>
      <color rgb="FF434343"/>
      <name val="Roboto"/>
    </font>
    <font>
      <b/>
      <sz val="9.0"/>
      <color rgb="FF000000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2" fontId="7" numFmtId="0" xfId="0" applyAlignment="1" applyFill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2" fontId="1" numFmtId="0" xfId="0" applyAlignment="1" applyFont="1">
      <alignment vertical="bottom"/>
    </xf>
    <xf borderId="0" fillId="0" fontId="6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" fontId="10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List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H20" displayName="Table1" name="Table1" id="1">
  <tableColumns count="8">
    <tableColumn totalsRowLabel="TOTAL" name="Part" id="1"/>
    <tableColumn name="Column 1" id="2"/>
    <tableColumn name="weight with quantity" id="3"/>
    <tableColumn name="Quantity" id="4"/>
    <tableColumn name="price per unit" id="5"/>
    <tableColumn totalsRowFunction="custom" name="Price" id="6"/>
    <tableColumn name="Source" id="7"/>
    <tableColumn name="Link" id="8"/>
  </tableColumns>
  <tableStyleInfo name="Lis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iexpress.com/item/1005006242218724.html?spm=a2g0n.shopcart.0.0.199838daVjJtez&amp;mp=1&amp;pdp_npi=6%40dis%21CZK%21CZK+17.28%21CZK+14.00%21%21CZK+14.00%21%21%21%400b88486a17839759110153837e1143%2112000036613799183%21ct%21CZ%217738828319%21%211%210%21" TargetMode="External"/><Relationship Id="rId10" Type="http://schemas.openxmlformats.org/officeDocument/2006/relationships/hyperlink" Target="https://www.aliexpress.com/item/1005006860976209.html?spm=a2g0n.shopcart.0.0.6bb838dacxEfO6&amp;mp=1&amp;pdp_npi=6%40dis%21CZK%21CZK" TargetMode="External"/><Relationship Id="rId13" Type="http://schemas.openxmlformats.org/officeDocument/2006/relationships/hyperlink" Target="https://shop.bristolbotbuilders.com/product/ftswitch/" TargetMode="External"/><Relationship Id="rId12" Type="http://schemas.openxmlformats.org/officeDocument/2006/relationships/hyperlink" Target="http://aliexpress.com/item/1005007489011976.html?spm=a2g0o.cart.0.0.23f038daIDlm7D&amp;mp=1&amp;pdp_npi=6%40dis%21USD%21USD%200.77%21USD%200.45%21%21USD%200.45%21%21%21%40210393bd17841063651556415e1058%2112000040986726335%21ct%21CZ%217738828319%21%211%210%21" TargetMode="External"/><Relationship Id="rId1" Type="http://schemas.openxmlformats.org/officeDocument/2006/relationships/hyperlink" Target="https://www.aliexpress.com/item/1005010114613416.html?spm=a2g0o.cart.0.0.280c38dakIQkzW&amp;mp=1&amp;pdp_npi=6%40dis%21USD%21USD+158.65%21USD+79.32%21%21USD+79.32%21%21%21%400b88a95617839351473187135e1044%2112000058800401025%21ct%21CZ%217657416970%21%211%210%21" TargetMode="External"/><Relationship Id="rId2" Type="http://schemas.openxmlformats.org/officeDocument/2006/relationships/hyperlink" Target="https://www.aliexpress.com/item/1005007102119787.html?spm=a2g0o.cart.0.0.3e4638darSokH9&amp;mp=1&amp;pdp_npi=6%40dis%21USD%21USD+21.76%21USD+11.32%21%21USD+11.32%21%21%21%400b88a96117839431392013573e1e06%2112000039407052895%21ct%21CZ%217657416970%21%211%210%21" TargetMode="External"/><Relationship Id="rId3" Type="http://schemas.openxmlformats.org/officeDocument/2006/relationships/hyperlink" Target="https://www.aliexpress.com/item/1005009186122940.html?spm=a2g0o.productlist.main.1.1e6eXb5GXb5Gve&amp;algo_pvid=651bf7e9-f795-4b8e-87a5-17fa3912469f&amp;algo_exp_id=651bf7e9-f795-4b8e-87a5-17fa3912469f-0&amp;pdp_ext_f=%7B%22order%22%3A%221967%22%2C%22eval%22%3A%221%22%2C%22fromPage%22%3A%22search%22%7D&amp;pdp_npi=6%40dis%21USD%213.54%213.54%21%21%2123.86%2123.86%21%4021613bf617841058107545209e1098%2112000048231956512%21sea%21CZ%217738828319%21ABX%211%210%21n_tag%3A-29910%3Bd%3A3b0c9dfa%3Bm03_new_user%3A-29895&amp;curPageLogUid=iuGUsXbtover&amp;utparam-url=scene%3Asearch%7Cquery_from%3A%7Cx_object_id%3A1005009186122940%7C_p_origin_prod%3A" TargetMode="External"/><Relationship Id="rId4" Type="http://schemas.openxmlformats.org/officeDocument/2006/relationships/hyperlink" Target="https://www.aliexpress.com/item/1005011869750683.html?spm=a2g0o.cart.0.0.4f4838daQtQqUc&amp;mp=1&amp;pdp_npi=6%40dis%21USD%21USD+29.02%21USD+13.06%21%21USD+13.06%21%21%21%400b884b5817842397550001471e0f83%2112000056829315002%21ct%21CZ%217738828319%21%211%210%21" TargetMode="External"/><Relationship Id="rId9" Type="http://schemas.openxmlformats.org/officeDocument/2006/relationships/hyperlink" Target="https://www.aliexpress.com/item/1005007518452982.html?spm=a2g0o.productlist.main.9.5106253fQwSuM8&amp;algo_pvid=2a38d644-5212-4416-94be-7ef1b0cfab2e&amp;algo_exp_id=2a38d644-5212-4416-94be-7ef1b0cfab2e-8&amp;pdp_ext_f=%7B%22order%22%3A%22140%22%2C%22eval%22%3A%221%22%2C%22fromPage%22%3A%22search%22%7D&amp;pdp_npi=6%40dis%21USD%218.38%215.03%21%21%2156.42%2133.85%21%400b884c0217842403785468793e0f92%2112000041103275949%21sea%21CZ%217738828319%21ABX%211%210%21n_tag%3A-29910%3Bd%3A3b0c9dfa%3Bm03_new_user%3A-29895&amp;curPageLogUid=mqNpocvKXDyB&amp;utparam-url=scene%3Asearch%7Cquery_from%3A%7Cx_object_id%3A1005007518452982%7C_p_origin_prod%3A" TargetMode="External"/><Relationship Id="rId15" Type="http://schemas.openxmlformats.org/officeDocument/2006/relationships/hyperlink" Target="https://shop.bristolbotbuilders.com/product/ftscrew/" TargetMode="External"/><Relationship Id="rId14" Type="http://schemas.openxmlformats.org/officeDocument/2006/relationships/hyperlink" Target="https://shop.bristolbotbuilders.com/product/sticker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liexpress.com/item/4001170728171.html?spm=a2g0o.productlist.main.4.3821E5CBE5CB9G&amp;algo_pvid=a51a6ba2-6f29-4775-8083-e27f2fce244e&amp;algo_exp_id=a51a6ba2-6f29-4775-8083-e27f2fce244e-3&amp;pdp_ext_f=%7B%22order%22%3A%22610%22%2C%22eval%22%3A%221%22%2C%22fromPage%22%3A%22search%22%7D&amp;pdp_npi=6%40dis%21USD%2112.09%2111.12%21%21%2112.09%2111.12%21%40210384a717843064530304852e0d57%2112000056081329536%21sea%21CZ%217738828319%21ABX%211%210%21n_tag%3A-29910%3Bd%3A3b0c9dfa%3Bm03_new_user%3A-29895&amp;curPageLogUid=N0xNbPspbQUc&amp;utparam-url=scene%3Asearch%7Cquery_from%3A%7Cx_object_id%3A4001170728171%7C_p_origin_prod%3A" TargetMode="External"/><Relationship Id="rId6" Type="http://schemas.openxmlformats.org/officeDocument/2006/relationships/hyperlink" Target="https://www.aliexpress.com/item/1005008218886259.html?spm=a2g0o.cart.0.0.3e4638darSokH9&amp;mp=1&amp;pdp_npi=6%40dis%21USD%21USD+2.12%21USD+1.89%21%21USD+1.89%21%21%21%400b88a96117839431392013573e1e06%2112000044273459312%21ct%21CZ%217657416970%21%211%210%21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aliexpress.com/item/1005002283009310.html?spm=a2g0n.shopcart.0.0.3c9b38dand22Sb&amp;mp=1&amp;pdp_npi=6%40dis%21CZK%21CZK+55.28%21CZK+55.28%21%21CZK+55.28%21%21%21%400b15834017838870063512885e1f85%2112000020718821793%21ct%21CZ%217738828319%21%211%210%21" TargetMode="External"/><Relationship Id="rId8" Type="http://schemas.openxmlformats.org/officeDocument/2006/relationships/hyperlink" Target="https://www.aliexpress.com/item/33007670757.html?spm=a2g0o.cart.0.0.23f038daZX6rGN&amp;mp=1&amp;pdp_npi=6%40dis%21CZK%21CZK+68.35%21CZK+68.35%21%21CZK+68.35%21%21%21%400b88ab7917840616995292126e0f93%2167064681806%21ct%21CZ%217738828319%21%211%210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5"/>
    <col customWidth="1" min="4" max="4" width="14.88"/>
    <col customWidth="1" min="5" max="5" width="18.38"/>
    <col customWidth="1" min="8" max="8" width="37.63"/>
    <col customWidth="1" min="10" max="26" width="14.38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3" t="s">
        <v>7</v>
      </c>
    </row>
    <row r="2" ht="15.75" customHeight="1">
      <c r="A2" s="5" t="s">
        <v>8</v>
      </c>
      <c r="C2" s="6" t="s">
        <v>9</v>
      </c>
      <c r="D2" s="7">
        <v>1.0</v>
      </c>
      <c r="E2" s="8">
        <v>79.32</v>
      </c>
      <c r="F2" s="8">
        <v>79.32</v>
      </c>
      <c r="G2" s="9" t="s">
        <v>10</v>
      </c>
      <c r="H2" s="10" t="s">
        <v>11</v>
      </c>
      <c r="I2" s="11"/>
    </row>
    <row r="3" ht="15.75" customHeight="1">
      <c r="A3" s="6" t="s">
        <v>12</v>
      </c>
      <c r="C3" s="6" t="s">
        <v>13</v>
      </c>
      <c r="D3" s="7">
        <v>1.0</v>
      </c>
      <c r="E3" s="8">
        <v>11.32</v>
      </c>
      <c r="F3" s="8">
        <v>11.32</v>
      </c>
      <c r="G3" s="9" t="s">
        <v>10</v>
      </c>
      <c r="H3" s="10" t="s">
        <v>14</v>
      </c>
    </row>
    <row r="4" ht="15.75" customHeight="1">
      <c r="A4" s="9" t="s">
        <v>15</v>
      </c>
      <c r="C4" s="12" t="s">
        <v>16</v>
      </c>
      <c r="D4" s="7">
        <v>2.0</v>
      </c>
      <c r="E4" s="8">
        <v>4.46</v>
      </c>
      <c r="F4" s="8">
        <v>8.92</v>
      </c>
      <c r="G4" s="9" t="s">
        <v>10</v>
      </c>
      <c r="H4" s="13" t="s">
        <v>17</v>
      </c>
    </row>
    <row r="5" ht="15.75" customHeight="1">
      <c r="A5" s="14" t="s">
        <v>18</v>
      </c>
      <c r="C5" s="12" t="s">
        <v>19</v>
      </c>
      <c r="D5" s="7">
        <v>1.0</v>
      </c>
      <c r="E5" s="8">
        <v>13.06</v>
      </c>
      <c r="F5" s="8">
        <v>13.06</v>
      </c>
      <c r="G5" s="9" t="s">
        <v>10</v>
      </c>
      <c r="H5" s="13" t="s">
        <v>20</v>
      </c>
    </row>
    <row r="6" ht="15.75" customHeight="1">
      <c r="A6" s="6" t="s">
        <v>21</v>
      </c>
      <c r="C6" s="12" t="s">
        <v>22</v>
      </c>
      <c r="D6" s="7">
        <v>2.0</v>
      </c>
      <c r="E6" s="8">
        <v>10.58</v>
      </c>
      <c r="F6" s="8">
        <v>21.16</v>
      </c>
      <c r="G6" s="9" t="s">
        <v>10</v>
      </c>
      <c r="H6" s="13" t="s">
        <v>23</v>
      </c>
    </row>
    <row r="7" ht="15.75" customHeight="1">
      <c r="A7" s="6" t="s">
        <v>24</v>
      </c>
      <c r="C7" s="15" t="s">
        <v>25</v>
      </c>
      <c r="D7" s="7">
        <v>1.0</v>
      </c>
      <c r="E7" s="16">
        <v>1.89</v>
      </c>
      <c r="F7" s="16">
        <v>1.89</v>
      </c>
      <c r="G7" s="9" t="s">
        <v>10</v>
      </c>
      <c r="H7" s="10" t="s">
        <v>26</v>
      </c>
    </row>
    <row r="8" ht="15.75" customHeight="1">
      <c r="A8" s="9" t="s">
        <v>27</v>
      </c>
      <c r="C8" s="15" t="s">
        <v>25</v>
      </c>
      <c r="D8" s="7">
        <v>1.0</v>
      </c>
      <c r="E8" s="8">
        <v>2.43</v>
      </c>
      <c r="F8" s="8">
        <v>2.43</v>
      </c>
      <c r="G8" s="9" t="s">
        <v>10</v>
      </c>
      <c r="H8" s="10" t="s">
        <v>28</v>
      </c>
    </row>
    <row r="9" ht="15.75" customHeight="1">
      <c r="A9" s="6" t="s">
        <v>29</v>
      </c>
      <c r="C9" s="15" t="s">
        <v>25</v>
      </c>
      <c r="D9" s="7">
        <v>1.0</v>
      </c>
      <c r="E9" s="8">
        <v>3.04</v>
      </c>
      <c r="F9" s="8">
        <v>3.04</v>
      </c>
      <c r="G9" s="9" t="s">
        <v>10</v>
      </c>
      <c r="H9" s="10" t="s">
        <v>29</v>
      </c>
    </row>
    <row r="10" ht="15.75" customHeight="1">
      <c r="A10" s="6" t="s">
        <v>30</v>
      </c>
      <c r="C10" s="12" t="s">
        <v>31</v>
      </c>
      <c r="D10" s="7">
        <v>1.0</v>
      </c>
      <c r="E10" s="8">
        <v>13.41</v>
      </c>
      <c r="F10" s="8">
        <v>13.41</v>
      </c>
      <c r="G10" s="9" t="s">
        <v>10</v>
      </c>
      <c r="H10" s="13" t="s">
        <v>32</v>
      </c>
    </row>
    <row r="11" ht="15.75" customHeight="1">
      <c r="A11" s="6" t="s">
        <v>33</v>
      </c>
      <c r="C11" s="15" t="s">
        <v>34</v>
      </c>
      <c r="D11" s="7">
        <v>1.0</v>
      </c>
      <c r="E11" s="8">
        <v>6.85</v>
      </c>
      <c r="F11" s="8">
        <v>6.85</v>
      </c>
      <c r="G11" s="9" t="s">
        <v>10</v>
      </c>
      <c r="H11" s="10" t="s">
        <v>35</v>
      </c>
    </row>
    <row r="12" ht="15.75" customHeight="1">
      <c r="A12" s="6" t="s">
        <v>36</v>
      </c>
      <c r="C12" s="15" t="s">
        <v>25</v>
      </c>
      <c r="D12" s="17">
        <v>2.0</v>
      </c>
      <c r="E12" s="8">
        <v>0.72</v>
      </c>
      <c r="F12" s="8">
        <v>1.44</v>
      </c>
      <c r="G12" s="9" t="s">
        <v>10</v>
      </c>
      <c r="H12" s="10" t="s">
        <v>37</v>
      </c>
    </row>
    <row r="13" ht="15.75" customHeight="1">
      <c r="A13" s="15" t="s">
        <v>38</v>
      </c>
      <c r="C13" s="15" t="s">
        <v>39</v>
      </c>
      <c r="D13" s="18">
        <v>1.0</v>
      </c>
      <c r="E13" s="19">
        <v>0.77</v>
      </c>
      <c r="F13" s="19">
        <v>0.77</v>
      </c>
      <c r="G13" s="15" t="s">
        <v>10</v>
      </c>
      <c r="H13" s="20" t="s">
        <v>40</v>
      </c>
    </row>
    <row r="14" ht="15.75" customHeight="1">
      <c r="A14" s="21" t="s">
        <v>41</v>
      </c>
      <c r="C14" s="15" t="s">
        <v>42</v>
      </c>
      <c r="D14" s="18">
        <v>1.0</v>
      </c>
      <c r="E14" s="19">
        <v>12.07</v>
      </c>
      <c r="F14" s="19">
        <v>12.07</v>
      </c>
      <c r="G14" s="15" t="s">
        <v>43</v>
      </c>
      <c r="H14" s="13" t="s">
        <v>44</v>
      </c>
    </row>
    <row r="15" ht="15.75" customHeight="1">
      <c r="A15" s="15" t="s">
        <v>45</v>
      </c>
      <c r="C15" s="15" t="s">
        <v>39</v>
      </c>
      <c r="D15" s="18">
        <v>1.0</v>
      </c>
      <c r="E15" s="8">
        <v>0.67</v>
      </c>
      <c r="F15" s="19">
        <v>0.67</v>
      </c>
      <c r="G15" s="15" t="s">
        <v>43</v>
      </c>
      <c r="H15" s="22" t="s">
        <v>46</v>
      </c>
    </row>
    <row r="16" ht="15.75" customHeight="1">
      <c r="A16" s="15" t="s">
        <v>47</v>
      </c>
      <c r="C16" s="15" t="s">
        <v>42</v>
      </c>
      <c r="D16" s="18">
        <v>1.0</v>
      </c>
      <c r="E16" s="19">
        <v>2.01</v>
      </c>
      <c r="F16" s="19">
        <v>2.01</v>
      </c>
      <c r="G16" s="15" t="s">
        <v>43</v>
      </c>
      <c r="H16" s="22" t="s">
        <v>48</v>
      </c>
    </row>
    <row r="17" ht="15.75" customHeight="1">
      <c r="D17" s="23"/>
      <c r="E17" s="24"/>
      <c r="F17" s="24"/>
    </row>
    <row r="18" ht="15.75" customHeight="1">
      <c r="A18" s="15" t="s">
        <v>49</v>
      </c>
      <c r="D18" s="23"/>
      <c r="E18" s="24"/>
      <c r="F18" s="19">
        <v>29.85</v>
      </c>
    </row>
    <row r="19" ht="15.75" customHeight="1">
      <c r="D19" s="23"/>
      <c r="E19" s="24"/>
      <c r="F19" s="24"/>
    </row>
    <row r="20" ht="15.75" customHeight="1">
      <c r="A20" s="6" t="s">
        <v>50</v>
      </c>
      <c r="B20" s="25"/>
      <c r="C20" s="25"/>
      <c r="D20" s="26"/>
      <c r="E20" s="27"/>
      <c r="F20" s="8">
        <f>SUM(F2:F18)</f>
        <v>208.21</v>
      </c>
      <c r="G20" s="25"/>
      <c r="H20" s="25"/>
    </row>
    <row r="21" ht="15.75" customHeight="1"/>
    <row r="22" ht="15.75" customHeight="1">
      <c r="F22" s="2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F19">
      <formula1>AND(ISNUMBER(D2),(NOT(OR(NOT(ISERROR(DATEVALUE(D2))), AND(ISNUMBER(D2), LEFT(CELL("format", D2))="D")))))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</hyperlinks>
  <drawing r:id="rId16"/>
  <tableParts count="1">
    <tablePart r:id="rId18"/>
  </tableParts>
</worksheet>
</file>